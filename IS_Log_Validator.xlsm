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uki/Dropbox/仕事中/220517_ImageJ_マクロ/"/>
    </mc:Choice>
  </mc:AlternateContent>
  <xr:revisionPtr revIDLastSave="0" documentId="13_ncr:1_{91CDF1A8-6945-6841-8E24-29DEA0217CE5}" xr6:coauthVersionLast="47" xr6:coauthVersionMax="47" xr10:uidLastSave="{00000000-0000-0000-0000-000000000000}"/>
  <bookViews>
    <workbookView xWindow="1640" yWindow="1460" windowWidth="29760" windowHeight="19020" xr2:uid="{6A34D05F-F417-8349-B3BB-69A7BC311E36}"/>
  </bookViews>
  <sheets>
    <sheet name="1_Forward" sheetId="1" r:id="rId1"/>
    <sheet name="2_Backward" sheetId="8" r:id="rId2"/>
    <sheet name="3_Validation" sheetId="9" r:id="rId3"/>
    <sheet name="4_Corrected" sheetId="10" r:id="rId4"/>
    <sheet name="CSV_temp" sheetId="1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3" i="9" l="1"/>
  <c r="U3" i="9"/>
  <c r="L3" i="9"/>
  <c r="R3" i="9" s="1"/>
  <c r="K3" i="9"/>
  <c r="Q3" i="9" s="1"/>
  <c r="J3" i="9"/>
  <c r="P3" i="9" s="1"/>
  <c r="I3" i="9"/>
  <c r="M3" i="9" s="1"/>
  <c r="S3" i="9" s="1"/>
  <c r="N3" i="9" l="1"/>
  <c r="T3" i="9" s="1"/>
  <c r="V4" i="9" s="1"/>
  <c r="O3" i="9"/>
  <c r="U4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886C7A-6544-E54A-B24A-01376B66A531}" name="Spleen_JPEG_20um_IS_Forward2" type="6" refreshedVersion="0" background="1">
    <textPr prompt="0" sourceFile="/Users/yuki/Dropbox/___/220517_ImageJ____/IS_test/Spleen_JPEG_20um_IS_Forward.txt">
      <textFields>
        <textField/>
      </textFields>
    </textPr>
  </connection>
</connections>
</file>

<file path=xl/sharedStrings.xml><?xml version="1.0" encoding="utf-8"?>
<sst xmlns="http://schemas.openxmlformats.org/spreadsheetml/2006/main" count="48" uniqueCount="22">
  <si>
    <t>Comparison</t>
  </si>
  <si>
    <t>Increment_Forward</t>
  </si>
  <si>
    <t>Increment_Backward</t>
  </si>
  <si>
    <t>Corrected</t>
  </si>
  <si>
    <t>ABS(Incre_For)</t>
  </si>
  <si>
    <t>ABS(Incre_Back)</t>
  </si>
  <si>
    <t>Side</t>
  </si>
  <si>
    <t>Vertical</t>
  </si>
  <si>
    <t>ABS(Comarison)</t>
  </si>
  <si>
    <t>um/pixel</t>
  </si>
  <si>
    <t>Threshold=</t>
  </si>
  <si>
    <t>Lower: severe, Higher: loose</t>
  </si>
  <si>
    <t xml:space="preserve">Refer : </t>
  </si>
  <si>
    <t xml:space="preserve">Save as : </t>
  </si>
  <si>
    <t>File name w/o ext :</t>
  </si>
  <si>
    <t>Full file name :</t>
  </si>
  <si>
    <t>Directory :</t>
  </si>
  <si>
    <t>Default and recommended threshold = 1 (pixels)</t>
  </si>
  <si>
    <t>Forward file:</t>
  </si>
  <si>
    <t>Backward file:</t>
  </si>
  <si>
    <t>Custom</t>
  </si>
  <si>
    <t>IS-processed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</si>
</sst>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6"/>
      <name val="Calibri"/>
      <family val="3"/>
      <charset val="128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sz val="11"/>
      <color theme="0"/>
      <name val="Arial"/>
      <family val="2"/>
    </font>
    <font>
      <sz val="14"/>
      <color rgb="FF000000"/>
      <name val="Arial"/>
      <family val="2"/>
    </font>
    <font>
      <sz val="12"/>
      <color rgb="FF000000"/>
      <name val="ArialMT"/>
    </font>
    <font>
      <sz val="12"/>
      <color rgb="FF000000"/>
      <name val="Arial"/>
      <family val="2"/>
    </font>
    <font>
      <sz val="14"/>
      <color rgb="FF000000"/>
      <name val="Calibri"/>
      <family val="2"/>
    </font>
    <font>
      <sz val="15.6"/>
      <color rgb="FF000000"/>
      <name val="ArialMT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7030A0"/>
        <bgColor indexed="64"/>
      </patternFill>
    </fill>
    <fill>
      <patternFill patternType="solid">
        <fgColor rgb="FFFAE7FF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FFC"/>
        <bgColor indexed="64"/>
      </patternFill>
    </fill>
    <fill>
      <patternFill patternType="solid">
        <fgColor rgb="FFFFEAFE"/>
        <bgColor indexed="64"/>
      </patternFill>
    </fill>
    <fill>
      <patternFill patternType="solid">
        <fgColor rgb="FFFFF5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5" borderId="0" applyNumberFormat="0" applyBorder="0" applyAlignment="0" applyProtection="0"/>
  </cellStyleXfs>
  <cellXfs count="38">
    <xf numFmtId="0" fontId="0" fillId="0" borderId="0" xfId="0"/>
    <xf numFmtId="0" fontId="3" fillId="12" borderId="0" xfId="0" applyFont="1" applyFill="1"/>
    <xf numFmtId="0" fontId="3" fillId="8" borderId="0" xfId="0" applyFont="1" applyFill="1"/>
    <xf numFmtId="0" fontId="3" fillId="10" borderId="0" xfId="0" applyFont="1" applyFill="1"/>
    <xf numFmtId="0" fontId="3" fillId="0" borderId="0" xfId="0" applyFont="1"/>
    <xf numFmtId="0" fontId="4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0" xfId="0" applyFont="1" applyAlignment="1">
      <alignment horizontal="center" vertical="center"/>
    </xf>
    <xf numFmtId="0" fontId="3" fillId="11" borderId="0" xfId="0" applyFont="1" applyFill="1"/>
    <xf numFmtId="0" fontId="3" fillId="0" borderId="0" xfId="0" applyFont="1" applyFill="1"/>
    <xf numFmtId="0" fontId="3" fillId="2" borderId="0" xfId="0" applyFont="1" applyFill="1"/>
    <xf numFmtId="0" fontId="3" fillId="3" borderId="0" xfId="0" applyFont="1" applyFill="1"/>
    <xf numFmtId="0" fontId="3" fillId="2" borderId="1" xfId="0" applyFont="1" applyFill="1" applyBorder="1"/>
    <xf numFmtId="0" fontId="5" fillId="3" borderId="1" xfId="0" applyFont="1" applyFill="1" applyBorder="1"/>
    <xf numFmtId="0" fontId="5" fillId="3" borderId="0" xfId="0" applyFont="1" applyFill="1"/>
    <xf numFmtId="0" fontId="3" fillId="4" borderId="1" xfId="0" applyFont="1" applyFill="1" applyBorder="1"/>
    <xf numFmtId="0" fontId="3" fillId="4" borderId="2" xfId="0" applyFont="1" applyFill="1" applyBorder="1"/>
    <xf numFmtId="0" fontId="6" fillId="6" borderId="0" xfId="1" applyFont="1" applyFill="1"/>
    <xf numFmtId="0" fontId="6" fillId="6" borderId="2" xfId="1" applyFont="1" applyFill="1" applyBorder="1"/>
    <xf numFmtId="0" fontId="3" fillId="0" borderId="0" xfId="1" applyFont="1" applyFill="1"/>
    <xf numFmtId="0" fontId="3" fillId="7" borderId="0" xfId="0" applyFont="1" applyFill="1"/>
    <xf numFmtId="0" fontId="3" fillId="7" borderId="0" xfId="1" applyFont="1" applyFill="1" applyBorder="1"/>
    <xf numFmtId="0" fontId="3" fillId="9" borderId="4" xfId="1" applyFont="1" applyFill="1" applyBorder="1"/>
    <xf numFmtId="0" fontId="3" fillId="7" borderId="0" xfId="0" applyFont="1" applyFill="1" applyBorder="1"/>
    <xf numFmtId="11" fontId="3" fillId="0" borderId="0" xfId="0" applyNumberFormat="1" applyFont="1"/>
    <xf numFmtId="0" fontId="3" fillId="0" borderId="1" xfId="0" applyFont="1" applyFill="1" applyBorder="1"/>
    <xf numFmtId="0" fontId="3" fillId="0" borderId="3" xfId="0" applyFont="1" applyFill="1" applyBorder="1"/>
    <xf numFmtId="49" fontId="3" fillId="0" borderId="0" xfId="0" applyNumberFormat="1" applyFont="1"/>
    <xf numFmtId="0" fontId="3" fillId="0" borderId="0" xfId="0" applyFont="1" applyFill="1" applyBorder="1"/>
    <xf numFmtId="11" fontId="3" fillId="0" borderId="1" xfId="0" applyNumberFormat="1" applyFont="1" applyBorder="1"/>
    <xf numFmtId="0" fontId="3" fillId="0" borderId="4" xfId="0" applyFont="1" applyFill="1" applyBorder="1"/>
    <xf numFmtId="0" fontId="3" fillId="12" borderId="0" xfId="0" applyFont="1" applyFill="1" applyBorder="1"/>
    <xf numFmtId="0" fontId="3" fillId="11" borderId="0" xfId="0" applyFont="1" applyFill="1" applyBorder="1"/>
    <xf numFmtId="0" fontId="3" fillId="8" borderId="0" xfId="0" applyFont="1" applyFill="1" applyBorder="1"/>
    <xf numFmtId="0" fontId="3" fillId="10" borderId="0" xfId="0" applyFont="1" applyFill="1" applyBorder="1"/>
    <xf numFmtId="49" fontId="3" fillId="12" borderId="0" xfId="0" applyNumberFormat="1" applyFont="1" applyFill="1" applyBorder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FF9FFC"/>
      <color rgb="FFFFD9FF"/>
      <color rgb="FFFFEAFE"/>
      <color rgb="FFFFF5FF"/>
      <color rgb="FFE247FF"/>
      <color rgb="FFF68DFF"/>
      <color rgb="FFEDCCFF"/>
      <color rgb="FFFAE7FF"/>
      <color rgb="FFD883FF"/>
      <color rgb="FF94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fmlaLink="Z41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Z45" lockText="1" noThreeD="1"/>
</file>

<file path=xl/ctrlProps/ctrlProp14.xml><?xml version="1.0" encoding="utf-8"?>
<formControlPr xmlns="http://schemas.microsoft.com/office/spreadsheetml/2009/9/main" objectType="CheckBox" fmlaLink="Z49" lockText="1" noThreeD="1"/>
</file>

<file path=xl/ctrlProps/ctrlProp15.xml><?xml version="1.0" encoding="utf-8"?>
<formControlPr xmlns="http://schemas.microsoft.com/office/spreadsheetml/2009/9/main" objectType="CheckBox" fmlaLink="Z53" lockText="1" noThreeD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660400</xdr:colOff>
          <xdr:row>10</xdr:row>
          <xdr:rowOff>88900</xdr:rowOff>
        </xdr:from>
        <xdr:to>
          <xdr:col>8</xdr:col>
          <xdr:colOff>215900</xdr:colOff>
          <xdr:row>13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Click here to select and import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0</xdr:row>
      <xdr:rowOff>88900</xdr:rowOff>
    </xdr:from>
    <xdr:to>
      <xdr:col>8</xdr:col>
      <xdr:colOff>698500</xdr:colOff>
      <xdr:row>10</xdr:row>
      <xdr:rowOff>12700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24500" y="88900"/>
          <a:ext cx="3886200" cy="1701800"/>
        </a:xfrm>
        <a:prstGeom prst="roundRect">
          <a:avLst>
            <a:gd name="adj" fmla="val 13880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1</a:t>
          </a:r>
          <a:r>
            <a:rPr lang="en-US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: </a:t>
          </a:r>
          <a:r>
            <a:rPr lang="en-US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Import </a:t>
          </a:r>
          <a:r>
            <a:rPr lang="en-US" sz="1400" b="1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Forward</a:t>
          </a:r>
          <a:r>
            <a:rPr lang="en-US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Log file.</a:t>
          </a:r>
        </a:p>
        <a:p>
          <a:pPr algn="l"/>
          <a:r>
            <a:rPr lang="en-US" sz="14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Select log file. The values will automatically be appeared in the worksheet "1_Forward", and "3_Validation. For Mac, Paths must be composed only of English characters and NOT contain Japanese characters.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812800</xdr:colOff>
          <xdr:row>23</xdr:row>
          <xdr:rowOff>0</xdr:rowOff>
        </xdr:from>
        <xdr:to>
          <xdr:col>8</xdr:col>
          <xdr:colOff>12700</xdr:colOff>
          <xdr:row>25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Initialize this worksheet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14</xdr:row>
      <xdr:rowOff>139700</xdr:rowOff>
    </xdr:from>
    <xdr:to>
      <xdr:col>8</xdr:col>
      <xdr:colOff>698500</xdr:colOff>
      <xdr:row>21</xdr:row>
      <xdr:rowOff>165100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524500" y="2628900"/>
          <a:ext cx="3886200" cy="1270000"/>
        </a:xfrm>
        <a:prstGeom prst="roundRect">
          <a:avLst>
            <a:gd name="adj" fmla="val 13880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[Optional tool]</a:t>
          </a:r>
          <a:r>
            <a:rPr lang="en-US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: Initialize this worksheet. </a:t>
          </a:r>
          <a:r>
            <a:rPr lang="en-US" sz="14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Clear values and refresh titles in this worksheet. In fact, initialization is also run when a log file is imported.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596900</xdr:colOff>
          <xdr:row>10</xdr:row>
          <xdr:rowOff>165100</xdr:rowOff>
        </xdr:from>
        <xdr:to>
          <xdr:col>8</xdr:col>
          <xdr:colOff>165100</xdr:colOff>
          <xdr:row>13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Click here to select and import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0</xdr:row>
      <xdr:rowOff>88900</xdr:rowOff>
    </xdr:from>
    <xdr:to>
      <xdr:col>8</xdr:col>
      <xdr:colOff>698500</xdr:colOff>
      <xdr:row>10</xdr:row>
      <xdr:rowOff>76200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575300" y="88900"/>
          <a:ext cx="3886200" cy="1765300"/>
        </a:xfrm>
        <a:prstGeom prst="roundRect">
          <a:avLst>
            <a:gd name="adj" fmla="val 13880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1-1</a:t>
          </a:r>
          <a:r>
            <a:rPr lang="en-US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: </a:t>
          </a:r>
          <a:r>
            <a:rPr lang="en-US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Import </a:t>
          </a:r>
          <a:r>
            <a:rPr lang="en-US" sz="1400" b="1">
              <a:solidFill>
                <a:schemeClr val="accent2"/>
              </a:solidFill>
              <a:latin typeface="Arial" panose="020B0604020202020204" pitchFamily="34" charset="0"/>
              <a:cs typeface="Arial" panose="020B0604020202020204" pitchFamily="34" charset="0"/>
            </a:rPr>
            <a:t>Backward</a:t>
          </a:r>
          <a:r>
            <a:rPr lang="en-US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Log file.</a:t>
          </a:r>
        </a:p>
        <a:p>
          <a:pPr algn="l"/>
          <a:r>
            <a:rPr lang="en-US" sz="14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Select log file. The values will automatically be appeared in the worksheet "2_Backward", and "3_Validation. For Mac, Paths must be composed only of English characters and NOT contain Japanese characters.</a:t>
          </a:r>
        </a:p>
      </xdr:txBody>
    </xdr:sp>
    <xdr:clientData/>
  </xdr:twoCellAnchor>
  <xdr:twoCellAnchor>
    <xdr:from>
      <xdr:col>4</xdr:col>
      <xdr:colOff>114300</xdr:colOff>
      <xdr:row>16</xdr:row>
      <xdr:rowOff>101600</xdr:rowOff>
    </xdr:from>
    <xdr:to>
      <xdr:col>8</xdr:col>
      <xdr:colOff>698500</xdr:colOff>
      <xdr:row>22</xdr:row>
      <xdr:rowOff>165100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575300" y="2946400"/>
          <a:ext cx="3886200" cy="1130300"/>
        </a:xfrm>
        <a:prstGeom prst="roundRect">
          <a:avLst>
            <a:gd name="adj" fmla="val 13880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[Optional tool]</a:t>
          </a:r>
          <a:r>
            <a:rPr lang="en-US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: Initialize this worksheet. </a:t>
          </a:r>
          <a:r>
            <a:rPr lang="en-US" sz="14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Clear values and refresh titles in this worksheet. In fact, initialization is also run when a log file is imported.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787400</xdr:colOff>
          <xdr:row>24</xdr:row>
          <xdr:rowOff>25400</xdr:rowOff>
        </xdr:from>
        <xdr:to>
          <xdr:col>7</xdr:col>
          <xdr:colOff>812800</xdr:colOff>
          <xdr:row>26</xdr:row>
          <xdr:rowOff>101600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Initialize this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8</xdr:row>
      <xdr:rowOff>25400</xdr:rowOff>
    </xdr:from>
    <xdr:to>
      <xdr:col>27</xdr:col>
      <xdr:colOff>0</xdr:colOff>
      <xdr:row>28</xdr:row>
      <xdr:rowOff>152400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8986500" y="1473200"/>
          <a:ext cx="3302000" cy="3683000"/>
        </a:xfrm>
        <a:prstGeom prst="roundRect">
          <a:avLst>
            <a:gd name="adj" fmla="val 2438"/>
          </a:avLst>
        </a:prstGeom>
        <a:solidFill>
          <a:schemeClr val="bg2"/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No macro is here</a:t>
          </a:r>
          <a:r>
            <a:rPr lang="en-US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= Nothing to do.</a:t>
          </a:r>
        </a:p>
        <a:p>
          <a:pPr algn="l"/>
          <a:endParaRPr lang="en-US" sz="1400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Increments: </a:t>
          </a:r>
          <a:r>
            <a:rPr lang="en-US" sz="14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More shift, darker color.</a:t>
          </a:r>
        </a:p>
        <a:p>
          <a:pPr algn="l"/>
          <a:endParaRPr lang="en-US" sz="1400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Comparison: </a:t>
          </a:r>
          <a:r>
            <a:rPr lang="en-US" sz="14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Difference between Forward and Backward. "0" means both IS could detect shifts as exactly same distance. </a:t>
          </a:r>
        </a:p>
        <a:p>
          <a:pPr algn="l"/>
          <a:endParaRPr lang="en-US" sz="1400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Absolute "comaprison" value:</a:t>
          </a:r>
          <a:r>
            <a:rPr lang="en-US" sz="14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referred to find IS error. In most cases, IS_Forward and/or IS_Backward can stabilized successfully. If both IS_ways failed, there should be terribully blurred image of huge debris. Such image should replace with neighbor.</a:t>
          </a:r>
          <a:endParaRPr lang="en-US" sz="14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12700</xdr:colOff>
          <xdr:row>31</xdr:row>
          <xdr:rowOff>76200</xdr:rowOff>
        </xdr:from>
        <xdr:to>
          <xdr:col>25</xdr:col>
          <xdr:colOff>584200</xdr:colOff>
          <xdr:row>33</xdr:row>
          <xdr:rowOff>101600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MT" charset="0"/>
                </a:rPr>
                <a:t>Initialize this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269631</xdr:colOff>
      <xdr:row>15</xdr:row>
      <xdr:rowOff>16610</xdr:rowOff>
    </xdr:from>
    <xdr:to>
      <xdr:col>15</xdr:col>
      <xdr:colOff>28331</xdr:colOff>
      <xdr:row>24</xdr:row>
      <xdr:rowOff>2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573477" y="2849687"/>
          <a:ext cx="3910623" cy="1605084"/>
        </a:xfrm>
        <a:prstGeom prst="roundRect">
          <a:avLst>
            <a:gd name="adj" fmla="val 13880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4-2 : Input pixel size of image</a:t>
          </a:r>
          <a:r>
            <a:rPr lang="en-US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series proccessed by image stabilizer. </a:t>
          </a:r>
          <a:endParaRPr lang="en-US" sz="1400" b="0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4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Input and click button "Calculate", then 2-fold and 4-fold values will appear in range E:H.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(Option) : Custom pixel size</a:t>
          </a:r>
          <a:r>
            <a:rPr lang="en-US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4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Values will appear in Range I:J.</a:t>
          </a:r>
        </a:p>
        <a:p>
          <a:pPr algn="l"/>
          <a:endParaRPr lang="en-US" sz="1400" b="0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0</xdr:row>
          <xdr:rowOff>304800</xdr:rowOff>
        </xdr:from>
        <xdr:to>
          <xdr:col>18</xdr:col>
          <xdr:colOff>533400</xdr:colOff>
          <xdr:row>4</xdr:row>
          <xdr:rowOff>101600</xdr:rowOff>
        </xdr:to>
        <xdr:sp macro="" textlink="">
          <xdr:nvSpPr>
            <xdr:cNvPr id="10261" name="Button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3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Initialize this worksheet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260839</xdr:colOff>
      <xdr:row>0</xdr:row>
      <xdr:rowOff>175845</xdr:rowOff>
    </xdr:from>
    <xdr:to>
      <xdr:col>15</xdr:col>
      <xdr:colOff>14654</xdr:colOff>
      <xdr:row>14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8515839" y="175845"/>
          <a:ext cx="3881315" cy="2465755"/>
          <a:chOff x="8558172" y="175845"/>
          <a:chExt cx="3902482" cy="2465755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8558172" y="175845"/>
            <a:ext cx="3902482" cy="1746738"/>
          </a:xfrm>
          <a:prstGeom prst="roundRect">
            <a:avLst>
              <a:gd name="adj" fmla="val 13880"/>
            </a:avLst>
          </a:prstGeom>
          <a:solidFill>
            <a:schemeClr val="bg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4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4-1 : Select</a:t>
            </a:r>
            <a:r>
              <a:rPr lang="en-US" sz="1400" b="1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reference log values for calculating folded values. </a:t>
            </a:r>
            <a:endParaRPr lang="en-US" sz="14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en-US" sz="1400" b="0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"Corrected value" for stablized from both direction. after correction. "native Forward" or "Native Backward" stabilized from only one direction. Values will be appeared in range A:D.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2" name="Button 22" hidden="1">
                <a:extLst>
                  <a:ext uri="{63B3BB69-23CF-44E3-9099-C40C66FF867C}">
                    <a14:compatExt spid="_x0000_s10262"/>
                  </a:ext>
                  <a:ext uri="{FF2B5EF4-FFF2-40B4-BE49-F238E27FC236}">
                    <a16:creationId xmlns:a16="http://schemas.microsoft.com/office/drawing/2014/main" id="{00000000-0008-0000-0300-000016280000}"/>
                  </a:ext>
                </a:extLst>
              </xdr:cNvPr>
              <xdr:cNvSpPr/>
            </xdr:nvSpPr>
            <xdr:spPr bwMode="auto">
              <a:xfrm>
                <a:off x="8652933" y="2108200"/>
                <a:ext cx="1684867" cy="5334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0000"/>
                    </a:solidFill>
                    <a:latin typeface="Arial" pitchFamily="2" charset="0"/>
                    <a:cs typeface="Arial" pitchFamily="2" charset="0"/>
                  </a:rPr>
                  <a:t>Corrected values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3" name="Button 23" hidden="1">
                <a:extLst>
                  <a:ext uri="{63B3BB69-23CF-44E3-9099-C40C66FF867C}">
                    <a14:compatExt spid="_x0000_s10263"/>
                  </a:ext>
                  <a:ext uri="{FF2B5EF4-FFF2-40B4-BE49-F238E27FC236}">
                    <a16:creationId xmlns:a16="http://schemas.microsoft.com/office/drawing/2014/main" id="{00000000-0008-0000-0300-000017280000}"/>
                  </a:ext>
                </a:extLst>
              </xdr:cNvPr>
              <xdr:cNvSpPr/>
            </xdr:nvSpPr>
            <xdr:spPr bwMode="auto">
              <a:xfrm>
                <a:off x="10414000" y="2108200"/>
                <a:ext cx="918633" cy="5334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0000"/>
                    </a:solidFill>
                    <a:latin typeface="Arial" pitchFamily="2" charset="0"/>
                    <a:cs typeface="Arial" pitchFamily="2" charset="0"/>
                  </a:rPr>
                  <a:t>Native Forward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4" name="Button 24" hidden="1">
                <a:extLst>
                  <a:ext uri="{63B3BB69-23CF-44E3-9099-C40C66FF867C}">
                    <a14:compatExt spid="_x0000_s10264"/>
                  </a:ext>
                  <a:ext uri="{FF2B5EF4-FFF2-40B4-BE49-F238E27FC236}">
                    <a16:creationId xmlns:a16="http://schemas.microsoft.com/office/drawing/2014/main" id="{00000000-0008-0000-0300-000018280000}"/>
                  </a:ext>
                </a:extLst>
              </xdr:cNvPr>
              <xdr:cNvSpPr/>
            </xdr:nvSpPr>
            <xdr:spPr bwMode="auto">
              <a:xfrm>
                <a:off x="11421533" y="2108200"/>
                <a:ext cx="918634" cy="5334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0000"/>
                    </a:solidFill>
                    <a:latin typeface="Arial" pitchFamily="2" charset="0"/>
                    <a:cs typeface="Arial" pitchFamily="2" charset="0"/>
                  </a:rPr>
                  <a:t>Native Backward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28</xdr:row>
          <xdr:rowOff>0</xdr:rowOff>
        </xdr:from>
        <xdr:to>
          <xdr:col>14</xdr:col>
          <xdr:colOff>0</xdr:colOff>
          <xdr:row>30</xdr:row>
          <xdr:rowOff>165100</xdr:rowOff>
        </xdr:to>
        <xdr:sp macro="" textlink="">
          <xdr:nvSpPr>
            <xdr:cNvPr id="10266" name="Button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3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242277</xdr:colOff>
      <xdr:row>32</xdr:row>
      <xdr:rowOff>15630</xdr:rowOff>
    </xdr:from>
    <xdr:to>
      <xdr:col>15</xdr:col>
      <xdr:colOff>977</xdr:colOff>
      <xdr:row>38</xdr:row>
      <xdr:rowOff>77177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8539610" y="5891497"/>
          <a:ext cx="3907367" cy="1128347"/>
        </a:xfrm>
        <a:prstGeom prst="roundRect">
          <a:avLst>
            <a:gd name="adj" fmla="val 13880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4-3 : Save validated log.</a:t>
          </a:r>
          <a:r>
            <a:rPr lang="en-US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US" sz="1400" b="0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4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Check files you need, then click "Save" button. Files will be made using indicated file name and directory.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39</xdr:row>
          <xdr:rowOff>25400</xdr:rowOff>
        </xdr:from>
        <xdr:to>
          <xdr:col>10</xdr:col>
          <xdr:colOff>812800</xdr:colOff>
          <xdr:row>41</xdr:row>
          <xdr:rowOff>152400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3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1560" b="0" i="0" u="none" strike="noStrike" baseline="0">
                  <a:solidFill>
                    <a:srgbClr val="000000"/>
                  </a:solidFill>
                  <a:latin typeface="ArialMT" charset="0"/>
                </a:rPr>
                <a:t> &gt;&gt;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800100</xdr:colOff>
          <xdr:row>55</xdr:row>
          <xdr:rowOff>12700</xdr:rowOff>
        </xdr:from>
        <xdr:to>
          <xdr:col>13</xdr:col>
          <xdr:colOff>825500</xdr:colOff>
          <xdr:row>58</xdr:row>
          <xdr:rowOff>12700</xdr:rowOff>
        </xdr:to>
        <xdr:sp macro="" textlink="">
          <xdr:nvSpPr>
            <xdr:cNvPr id="10276" name="Button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3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Check &amp; Save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43</xdr:row>
          <xdr:rowOff>25400</xdr:rowOff>
        </xdr:from>
        <xdr:to>
          <xdr:col>10</xdr:col>
          <xdr:colOff>812800</xdr:colOff>
          <xdr:row>45</xdr:row>
          <xdr:rowOff>139700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3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1560" b="0" i="0" u="none" strike="noStrike" baseline="0">
                  <a:solidFill>
                    <a:srgbClr val="000000"/>
                  </a:solidFill>
                  <a:latin typeface="ArialMT" charset="0"/>
                </a:rPr>
                <a:t> &gt;&gt;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47</xdr:row>
          <xdr:rowOff>38100</xdr:rowOff>
        </xdr:from>
        <xdr:to>
          <xdr:col>10</xdr:col>
          <xdr:colOff>812800</xdr:colOff>
          <xdr:row>49</xdr:row>
          <xdr:rowOff>152400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3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1560" b="0" i="0" u="none" strike="noStrike" baseline="0">
                  <a:solidFill>
                    <a:srgbClr val="000000"/>
                  </a:solidFill>
                  <a:latin typeface="ArialMT" charset="0"/>
                </a:rPr>
                <a:t> &gt;&gt;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51</xdr:row>
          <xdr:rowOff>25400</xdr:rowOff>
        </xdr:from>
        <xdr:to>
          <xdr:col>10</xdr:col>
          <xdr:colOff>812800</xdr:colOff>
          <xdr:row>53</xdr:row>
          <xdr:rowOff>152400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3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1560" b="0" i="0" u="none" strike="noStrike" baseline="0">
                  <a:solidFill>
                    <a:srgbClr val="000000"/>
                  </a:solidFill>
                  <a:latin typeface="ArialMT" charset="0"/>
                </a:rPr>
                <a:t> &gt;&gt;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</xdr:row>
          <xdr:rowOff>25400</xdr:rowOff>
        </xdr:from>
        <xdr:to>
          <xdr:col>9</xdr:col>
          <xdr:colOff>38100</xdr:colOff>
          <xdr:row>3</xdr:row>
          <xdr:rowOff>101600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Initialize this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8280B-9E10-0942-B6A1-34F9773F5F08}">
  <sheetPr codeName="Sheet1"/>
  <dimension ref="A1:J25"/>
  <sheetViews>
    <sheetView tabSelected="1" zoomScaleNormal="100" workbookViewId="0">
      <selection activeCell="E1" sqref="E1"/>
    </sheetView>
  </sheetViews>
  <sheetFormatPr baseColWidth="10" defaultColWidth="10.83203125" defaultRowHeight="14"/>
  <cols>
    <col min="1" max="1" width="43.1640625" style="4" bestFit="1" customWidth="1"/>
    <col min="2" max="2" width="2.1640625" style="4" bestFit="1" customWidth="1"/>
    <col min="3" max="4" width="12.83203125" style="4" bestFit="1" customWidth="1"/>
    <col min="5" max="6" width="10.83203125" style="4" customWidth="1"/>
    <col min="7" max="8" width="10.83203125" style="4"/>
    <col min="9" max="9" width="10.83203125" style="4" customWidth="1"/>
    <col min="10" max="10" width="16.5" style="4" customWidth="1"/>
    <col min="11" max="16384" width="10.83203125" style="4"/>
  </cols>
  <sheetData>
    <row r="1" spans="1:10">
      <c r="A1" s="12"/>
      <c r="B1" s="12"/>
      <c r="C1" s="12"/>
      <c r="D1" s="12"/>
    </row>
    <row r="2" spans="1:10">
      <c r="J2" s="12" t="s">
        <v>14</v>
      </c>
    </row>
    <row r="3" spans="1:10">
      <c r="J3" s="12" t="s">
        <v>15</v>
      </c>
    </row>
    <row r="4" spans="1:10">
      <c r="J4" s="12" t="s">
        <v>16</v>
      </c>
    </row>
    <row r="5" spans="1:10">
      <c r="J5" s="11"/>
    </row>
    <row r="21" spans="6:8">
      <c r="F21" s="30"/>
      <c r="G21" s="30"/>
      <c r="H21" s="30"/>
    </row>
    <row r="22" spans="6:8">
      <c r="F22" s="30"/>
      <c r="G22" s="30"/>
      <c r="H22" s="30"/>
    </row>
    <row r="23" spans="6:8">
      <c r="F23" s="30"/>
      <c r="G23" s="30"/>
      <c r="H23" s="30"/>
    </row>
    <row r="24" spans="6:8">
      <c r="F24" s="30"/>
      <c r="G24" s="30"/>
      <c r="H24" s="30"/>
    </row>
    <row r="25" spans="6:8">
      <c r="F25" s="30"/>
      <c r="G25" s="30"/>
      <c r="H25" s="30"/>
    </row>
  </sheetData>
  <phoneticPr fontId="2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Forward">
                <anchor moveWithCells="1" sizeWithCells="1">
                  <from>
                    <xdr:col>4</xdr:col>
                    <xdr:colOff>660400</xdr:colOff>
                    <xdr:row>10</xdr:row>
                    <xdr:rowOff>88900</xdr:rowOff>
                  </from>
                  <to>
                    <xdr:col>8</xdr:col>
                    <xdr:colOff>215900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n_Sheet_1">
                <anchor moveWithCells="1" sizeWithCells="1">
                  <from>
                    <xdr:col>4</xdr:col>
                    <xdr:colOff>812800</xdr:colOff>
                    <xdr:row>23</xdr:row>
                    <xdr:rowOff>0</xdr:rowOff>
                  </from>
                  <to>
                    <xdr:col>8</xdr:col>
                    <xdr:colOff>12700</xdr:colOff>
                    <xdr:row>25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24961-A44F-7D41-A28D-08166DC72919}">
  <sheetPr codeName="Sheet4"/>
  <dimension ref="A1:J11"/>
  <sheetViews>
    <sheetView zoomScaleNormal="100" workbookViewId="0">
      <selection activeCell="E1" sqref="E1"/>
    </sheetView>
  </sheetViews>
  <sheetFormatPr baseColWidth="10" defaultColWidth="10.83203125" defaultRowHeight="14"/>
  <cols>
    <col min="1" max="1" width="43.1640625" style="4" bestFit="1" customWidth="1"/>
    <col min="2" max="2" width="2.83203125" style="4" bestFit="1" customWidth="1"/>
    <col min="3" max="4" width="12.83203125" style="4" bestFit="1" customWidth="1"/>
    <col min="5" max="9" width="10.83203125" style="4" customWidth="1"/>
    <col min="10" max="10" width="16.83203125" style="4" customWidth="1"/>
    <col min="11" max="16384" width="10.83203125" style="4"/>
  </cols>
  <sheetData>
    <row r="1" spans="1:10">
      <c r="A1" s="13"/>
      <c r="B1" s="13"/>
      <c r="C1" s="13"/>
      <c r="D1" s="13"/>
    </row>
    <row r="2" spans="1:10">
      <c r="J2" s="13" t="s">
        <v>14</v>
      </c>
    </row>
    <row r="3" spans="1:10">
      <c r="C3" s="26"/>
      <c r="E3" s="26"/>
      <c r="G3" s="26"/>
      <c r="I3" s="26"/>
      <c r="J3" s="13" t="s">
        <v>15</v>
      </c>
    </row>
    <row r="4" spans="1:10">
      <c r="C4" s="26"/>
      <c r="J4" s="13" t="s">
        <v>16</v>
      </c>
    </row>
    <row r="8" spans="1:10">
      <c r="C8" s="26"/>
      <c r="E8" s="26"/>
    </row>
    <row r="11" spans="1:10">
      <c r="C11" s="26"/>
      <c r="E11" s="26"/>
      <c r="G11" s="26"/>
    </row>
  </sheetData>
  <sortState xmlns:xlrd2="http://schemas.microsoft.com/office/spreadsheetml/2017/richdata2" ref="A3:D11">
    <sortCondition descending="1" ref="A1"/>
  </sortState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3" name="Button 4">
              <controlPr defaultSize="0" print="0" autoFill="0" autoPict="0" macro="[0]!Import_Backward">
                <anchor moveWithCells="1" sizeWithCells="1">
                  <from>
                    <xdr:col>4</xdr:col>
                    <xdr:colOff>596900</xdr:colOff>
                    <xdr:row>10</xdr:row>
                    <xdr:rowOff>165100</xdr:rowOff>
                  </from>
                  <to>
                    <xdr:col>8</xdr:col>
                    <xdr:colOff>165100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4" name="Button 6">
              <controlPr defaultSize="0" print="0" autoFill="0" autoPict="0" macro="[0]!Clean_Sheet_2">
                <anchor moveWithCells="1" sizeWithCells="1">
                  <from>
                    <xdr:col>4</xdr:col>
                    <xdr:colOff>787400</xdr:colOff>
                    <xdr:row>24</xdr:row>
                    <xdr:rowOff>25400</xdr:rowOff>
                  </from>
                  <to>
                    <xdr:col>7</xdr:col>
                    <xdr:colOff>812800</xdr:colOff>
                    <xdr:row>26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D7D38-F581-7B4E-955E-BCA912DC742E}">
  <sheetPr codeName="Sheet2"/>
  <dimension ref="A1:AA12"/>
  <sheetViews>
    <sheetView topLeftCell="B1" zoomScaleNormal="100" workbookViewId="0">
      <selection activeCell="W1" sqref="W1"/>
    </sheetView>
  </sheetViews>
  <sheetFormatPr baseColWidth="10" defaultColWidth="10.83203125" defaultRowHeight="14"/>
  <cols>
    <col min="1" max="23" width="10.83203125" style="4"/>
    <col min="24" max="24" width="10.83203125" style="4" customWidth="1"/>
    <col min="25" max="16384" width="10.83203125" style="4"/>
  </cols>
  <sheetData>
    <row r="1" spans="1:27" ht="15" thickBot="1">
      <c r="A1" s="12"/>
      <c r="B1" s="12"/>
      <c r="C1" s="12"/>
      <c r="D1" s="12"/>
      <c r="E1" s="13"/>
      <c r="F1" s="13"/>
      <c r="G1" s="13"/>
      <c r="H1" s="13"/>
      <c r="I1" s="14" t="s">
        <v>1</v>
      </c>
      <c r="J1" s="12"/>
      <c r="K1" s="15" t="s">
        <v>2</v>
      </c>
      <c r="L1" s="16"/>
      <c r="M1" s="17" t="s">
        <v>0</v>
      </c>
      <c r="N1" s="18"/>
      <c r="O1" s="4" t="s">
        <v>4</v>
      </c>
      <c r="Q1" s="4" t="s">
        <v>5</v>
      </c>
      <c r="S1" s="4" t="s">
        <v>8</v>
      </c>
      <c r="T1" s="7"/>
      <c r="U1" s="19" t="s">
        <v>3</v>
      </c>
      <c r="V1" s="20"/>
      <c r="W1" s="21"/>
      <c r="X1" s="22"/>
      <c r="Y1" s="22"/>
      <c r="Z1" s="23"/>
      <c r="AA1" s="22"/>
    </row>
    <row r="2" spans="1:27" ht="15" thickBot="1">
      <c r="I2" s="6" t="s">
        <v>6</v>
      </c>
      <c r="J2" s="4" t="s">
        <v>7</v>
      </c>
      <c r="K2" s="31" t="s">
        <v>6</v>
      </c>
      <c r="L2" s="4" t="s">
        <v>7</v>
      </c>
      <c r="M2" s="31" t="s">
        <v>6</v>
      </c>
      <c r="N2" s="4" t="s">
        <v>7</v>
      </c>
      <c r="O2" s="6" t="s">
        <v>6</v>
      </c>
      <c r="P2" s="4" t="s">
        <v>7</v>
      </c>
      <c r="Q2" s="6" t="s">
        <v>6</v>
      </c>
      <c r="R2" s="4" t="s">
        <v>7</v>
      </c>
      <c r="S2" s="6" t="s">
        <v>6</v>
      </c>
      <c r="T2" s="7" t="s">
        <v>7</v>
      </c>
      <c r="U2" s="6" t="s">
        <v>6</v>
      </c>
      <c r="V2" s="7" t="s">
        <v>7</v>
      </c>
      <c r="W2" s="6"/>
      <c r="X2" s="22" t="s">
        <v>10</v>
      </c>
      <c r="Y2" s="24">
        <v>1</v>
      </c>
      <c r="Z2" s="25"/>
      <c r="AA2" s="22"/>
    </row>
    <row r="3" spans="1:27">
      <c r="G3" s="26"/>
      <c r="I3" s="6">
        <f>C4-C3</f>
        <v>0</v>
      </c>
      <c r="J3" s="6">
        <f>D4-D3</f>
        <v>0</v>
      </c>
      <c r="K3" s="31">
        <f>G4-G3</f>
        <v>0</v>
      </c>
      <c r="L3" s="6">
        <f>H4-H3</f>
        <v>0</v>
      </c>
      <c r="M3" s="31">
        <f>I3-K3</f>
        <v>0</v>
      </c>
      <c r="N3" s="8">
        <f>J3-L3</f>
        <v>0</v>
      </c>
      <c r="O3" s="6">
        <f>ABS(I3)</f>
        <v>0</v>
      </c>
      <c r="P3" s="6">
        <f>ABS(J3)</f>
        <v>0</v>
      </c>
      <c r="Q3" s="6">
        <f>ABS(K3)</f>
        <v>0</v>
      </c>
      <c r="R3" s="6">
        <f>ABS(L3)</f>
        <v>0</v>
      </c>
      <c r="S3" s="6">
        <f>ABS(M3)</f>
        <v>0</v>
      </c>
      <c r="T3" s="8">
        <f>ABS(N3)</f>
        <v>0</v>
      </c>
      <c r="U3" s="27">
        <f>C3</f>
        <v>0</v>
      </c>
      <c r="V3" s="28">
        <f>D3</f>
        <v>0</v>
      </c>
      <c r="X3" s="23" t="s">
        <v>17</v>
      </c>
      <c r="Y3" s="22"/>
      <c r="Z3" s="22"/>
      <c r="AA3" s="22"/>
    </row>
    <row r="4" spans="1:27">
      <c r="I4" s="6"/>
      <c r="J4" s="6"/>
      <c r="K4" s="31"/>
      <c r="L4" s="6"/>
      <c r="M4" s="31"/>
      <c r="N4" s="8"/>
      <c r="O4" s="6"/>
      <c r="P4" s="6"/>
      <c r="Q4" s="6"/>
      <c r="R4" s="6"/>
      <c r="S4" s="6"/>
      <c r="T4" s="8"/>
      <c r="U4" s="4">
        <f>IF(AND(O3&gt;$Y$2,Q3&lt;$Y$2,S3&gt;$Y$2),U3+K3,U3+I3)</f>
        <v>0</v>
      </c>
      <c r="V4" s="7">
        <f>IF(AND(P3&gt;$Y$2,R3&lt;$Y$2,T3&gt;$Y$2),V3+L3,V3+J3)</f>
        <v>0</v>
      </c>
      <c r="X4" s="22" t="s">
        <v>11</v>
      </c>
      <c r="Y4" s="22"/>
      <c r="Z4" s="22"/>
      <c r="AA4" s="22"/>
    </row>
    <row r="5" spans="1:27">
      <c r="I5" s="6"/>
      <c r="J5" s="6"/>
      <c r="K5" s="31"/>
      <c r="L5" s="6"/>
      <c r="M5" s="31"/>
      <c r="N5" s="8"/>
      <c r="O5" s="6"/>
      <c r="P5" s="6"/>
      <c r="Q5" s="6"/>
      <c r="R5" s="6"/>
      <c r="S5" s="6"/>
      <c r="T5" s="8"/>
      <c r="V5" s="7"/>
    </row>
    <row r="6" spans="1:27">
      <c r="G6" s="26"/>
      <c r="I6" s="6"/>
      <c r="J6" s="6"/>
      <c r="K6" s="31"/>
      <c r="L6" s="6"/>
      <c r="M6" s="31"/>
      <c r="N6" s="8"/>
      <c r="O6" s="6"/>
      <c r="P6" s="6"/>
      <c r="Q6" s="6"/>
      <c r="R6" s="6"/>
      <c r="S6" s="6"/>
      <c r="T6" s="8"/>
      <c r="V6" s="7"/>
      <c r="X6" s="12" t="s">
        <v>18</v>
      </c>
    </row>
    <row r="7" spans="1:27">
      <c r="I7" s="6"/>
      <c r="J7" s="6"/>
      <c r="K7" s="31"/>
      <c r="L7" s="6"/>
      <c r="M7" s="31"/>
      <c r="N7" s="8"/>
      <c r="O7" s="6"/>
      <c r="P7" s="6"/>
      <c r="Q7" s="6"/>
      <c r="R7" s="6"/>
      <c r="S7" s="6"/>
      <c r="T7" s="8"/>
      <c r="V7" s="7"/>
      <c r="X7" s="13" t="s">
        <v>19</v>
      </c>
    </row>
    <row r="8" spans="1:27">
      <c r="I8" s="6"/>
      <c r="J8" s="6"/>
      <c r="K8" s="31"/>
      <c r="L8" s="6"/>
      <c r="M8" s="31"/>
      <c r="N8" s="8"/>
      <c r="O8" s="6"/>
      <c r="P8" s="6"/>
      <c r="Q8" s="6"/>
      <c r="R8" s="6"/>
      <c r="S8" s="6"/>
      <c r="T8" s="8"/>
      <c r="V8" s="7"/>
    </row>
    <row r="9" spans="1:27">
      <c r="I9" s="6"/>
      <c r="J9" s="6"/>
      <c r="K9" s="31"/>
      <c r="L9" s="6"/>
      <c r="M9" s="31"/>
      <c r="N9" s="8"/>
      <c r="O9" s="6"/>
      <c r="P9" s="6"/>
      <c r="Q9" s="6"/>
      <c r="R9" s="6"/>
      <c r="S9" s="6"/>
      <c r="T9" s="8"/>
      <c r="V9" s="7"/>
    </row>
    <row r="10" spans="1:27">
      <c r="G10" s="26"/>
      <c r="I10" s="6"/>
      <c r="J10" s="6"/>
      <c r="K10" s="31"/>
      <c r="L10" s="6"/>
      <c r="M10" s="31"/>
      <c r="N10" s="8"/>
      <c r="O10" s="6"/>
      <c r="P10" s="6"/>
      <c r="Q10" s="6"/>
      <c r="R10" s="6"/>
      <c r="S10" s="6"/>
      <c r="T10" s="8"/>
      <c r="V10" s="7"/>
    </row>
    <row r="11" spans="1:27">
      <c r="G11" s="26"/>
      <c r="I11" s="6"/>
      <c r="J11" s="6"/>
      <c r="K11" s="31"/>
      <c r="L11" s="6"/>
      <c r="M11" s="31"/>
      <c r="N11" s="8"/>
      <c r="O11" s="6"/>
      <c r="P11" s="6"/>
      <c r="Q11" s="6"/>
      <c r="R11" s="6"/>
      <c r="S11" s="6"/>
      <c r="T11" s="8"/>
      <c r="V11" s="7"/>
    </row>
    <row r="12" spans="1:27">
      <c r="I12" s="6"/>
      <c r="J12" s="6"/>
      <c r="K12" s="31"/>
      <c r="L12" s="6"/>
      <c r="M12" s="31"/>
      <c r="N12" s="8"/>
      <c r="O12" s="6"/>
      <c r="P12" s="6"/>
      <c r="Q12" s="6"/>
      <c r="R12" s="6"/>
      <c r="S12" s="6"/>
      <c r="T12" s="8"/>
      <c r="V12" s="7"/>
    </row>
  </sheetData>
  <phoneticPr fontId="2"/>
  <conditionalFormatting sqref="M1:N1 M3:N12">
    <cfRule type="colorScale" priority="30">
      <colorScale>
        <cfvo type="num" val="-2"/>
        <cfvo type="num" val="0"/>
        <cfvo type="num" val="2"/>
        <color theme="7"/>
        <color theme="0"/>
        <color theme="7"/>
      </colorScale>
    </cfRule>
  </conditionalFormatting>
  <conditionalFormatting sqref="I3:J12">
    <cfRule type="colorScale" priority="29">
      <colorScale>
        <cfvo type="num" val="-2"/>
        <cfvo type="num" val="0"/>
        <cfvo type="num" val="2"/>
        <color theme="7"/>
        <color theme="0"/>
        <color theme="7"/>
      </colorScale>
    </cfRule>
  </conditionalFormatting>
  <conditionalFormatting sqref="K3:L12">
    <cfRule type="colorScale" priority="28">
      <colorScale>
        <cfvo type="num" val="-2"/>
        <cfvo type="num" val="0"/>
        <cfvo type="num" val="2"/>
        <color theme="7"/>
        <color theme="0"/>
        <color theme="7"/>
      </colorScale>
    </cfRule>
  </conditionalFormatting>
  <conditionalFormatting sqref="O3:V3 O4:T12">
    <cfRule type="colorScale" priority="26">
      <colorScale>
        <cfvo type="num" val="-2"/>
        <cfvo type="num" val="0"/>
        <cfvo type="num" val="2"/>
        <color theme="7"/>
        <color theme="0"/>
        <color theme="7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ean_Sheet_3VFB">
                <anchor moveWithCells="1" sizeWithCells="1">
                  <from>
                    <xdr:col>23</xdr:col>
                    <xdr:colOff>12700</xdr:colOff>
                    <xdr:row>31</xdr:row>
                    <xdr:rowOff>76200</xdr:rowOff>
                  </from>
                  <to>
                    <xdr:col>25</xdr:col>
                    <xdr:colOff>584200</xdr:colOff>
                    <xdr:row>33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0F01D-E6EE-6740-AB83-722055889931}">
  <sheetPr codeName="Sheet3"/>
  <dimension ref="A1:X54"/>
  <sheetViews>
    <sheetView topLeftCell="A13" zoomScaleNormal="100" workbookViewId="0">
      <selection activeCell="K5" sqref="K5"/>
    </sheetView>
  </sheetViews>
  <sheetFormatPr baseColWidth="10" defaultColWidth="10.83203125" defaultRowHeight="14"/>
  <cols>
    <col min="1" max="1" width="10.83203125" style="4" customWidth="1"/>
    <col min="2" max="15" width="10.83203125" style="4"/>
    <col min="16" max="16" width="4.83203125" style="4" customWidth="1"/>
    <col min="17" max="20" width="10.83203125" style="4" customWidth="1"/>
    <col min="21" max="16384" width="10.83203125" style="4"/>
  </cols>
  <sheetData>
    <row r="1" spans="1:24" ht="26" customHeight="1">
      <c r="A1" s="33"/>
      <c r="B1" s="33"/>
      <c r="C1" s="33"/>
      <c r="D1" s="33"/>
      <c r="E1" s="34"/>
      <c r="F1" s="34"/>
      <c r="G1" s="35"/>
      <c r="H1" s="35"/>
      <c r="I1" s="36"/>
      <c r="J1" s="36"/>
      <c r="L1" s="5"/>
    </row>
    <row r="2" spans="1:24">
      <c r="E2" s="6"/>
      <c r="F2" s="8"/>
      <c r="H2" s="7"/>
      <c r="J2" s="7"/>
    </row>
    <row r="3" spans="1:24">
      <c r="E3" s="6"/>
      <c r="F3" s="8"/>
      <c r="H3" s="7"/>
      <c r="J3" s="7"/>
    </row>
    <row r="4" spans="1:24">
      <c r="E4" s="6"/>
      <c r="F4" s="8"/>
      <c r="H4" s="7"/>
      <c r="J4" s="7"/>
    </row>
    <row r="5" spans="1:24">
      <c r="E5" s="6"/>
      <c r="F5" s="8"/>
      <c r="H5" s="7"/>
      <c r="J5" s="7"/>
    </row>
    <row r="6" spans="1:24">
      <c r="E6" s="6"/>
      <c r="F6" s="8"/>
      <c r="H6" s="7"/>
      <c r="J6" s="7"/>
    </row>
    <row r="7" spans="1:24">
      <c r="E7" s="6"/>
      <c r="F7" s="8"/>
      <c r="H7" s="7"/>
      <c r="J7" s="7"/>
    </row>
    <row r="8" spans="1:24">
      <c r="E8" s="6"/>
      <c r="F8" s="8"/>
      <c r="H8" s="7"/>
      <c r="J8" s="7"/>
    </row>
    <row r="9" spans="1:24">
      <c r="E9" s="6"/>
      <c r="F9" s="8"/>
      <c r="H9" s="7"/>
      <c r="J9" s="7"/>
    </row>
    <row r="10" spans="1:24">
      <c r="E10" s="6"/>
      <c r="F10" s="8"/>
      <c r="H10" s="7"/>
      <c r="J10" s="7"/>
    </row>
    <row r="11" spans="1:24">
      <c r="E11" s="6"/>
      <c r="F11" s="8"/>
      <c r="H11" s="7"/>
      <c r="J11" s="7"/>
      <c r="X11" s="9"/>
    </row>
    <row r="12" spans="1:24">
      <c r="E12" s="6"/>
      <c r="F12" s="8"/>
      <c r="H12" s="7"/>
      <c r="J12" s="7"/>
    </row>
    <row r="26" spans="11:15" ht="15" thickBot="1">
      <c r="L26" s="11" t="s">
        <v>21</v>
      </c>
      <c r="M26" s="11"/>
      <c r="N26" s="11" t="s">
        <v>20</v>
      </c>
      <c r="O26" s="11"/>
    </row>
    <row r="27" spans="11:15" ht="15" thickBot="1">
      <c r="L27" s="32"/>
      <c r="M27" s="11" t="s">
        <v>9</v>
      </c>
      <c r="N27" s="32"/>
      <c r="O27" s="11" t="s">
        <v>9</v>
      </c>
    </row>
    <row r="29" spans="11:15">
      <c r="K29" s="11"/>
      <c r="N29" s="11"/>
    </row>
    <row r="30" spans="11:15">
      <c r="K30" s="11"/>
      <c r="N30" s="11"/>
    </row>
    <row r="31" spans="11:15">
      <c r="K31" s="11"/>
      <c r="L31" s="11"/>
      <c r="M31" s="11"/>
      <c r="N31" s="11"/>
    </row>
    <row r="32" spans="11:15">
      <c r="K32" s="11"/>
      <c r="L32" s="11"/>
      <c r="M32" s="11"/>
      <c r="N32" s="11"/>
    </row>
    <row r="33" spans="11:14">
      <c r="K33" s="11"/>
      <c r="L33" s="11"/>
      <c r="M33" s="11"/>
      <c r="N33" s="11"/>
    </row>
    <row r="34" spans="11:14">
      <c r="K34" s="11"/>
      <c r="L34" s="30"/>
      <c r="M34" s="11"/>
      <c r="N34" s="11"/>
    </row>
    <row r="35" spans="11:14">
      <c r="K35" s="11"/>
      <c r="L35" s="11"/>
    </row>
    <row r="36" spans="11:14">
      <c r="K36" s="11"/>
      <c r="L36" s="11"/>
    </row>
    <row r="37" spans="11:14">
      <c r="K37" s="11"/>
    </row>
    <row r="38" spans="11:14">
      <c r="K38" s="11"/>
    </row>
    <row r="39" spans="11:14">
      <c r="K39" s="11"/>
    </row>
    <row r="40" spans="11:14">
      <c r="K40" s="11"/>
      <c r="L40" s="1" t="s">
        <v>12</v>
      </c>
    </row>
    <row r="41" spans="11:14">
      <c r="L41" s="1" t="s">
        <v>13</v>
      </c>
    </row>
    <row r="42" spans="11:14">
      <c r="K42" s="11"/>
      <c r="L42" s="1" t="s">
        <v>16</v>
      </c>
    </row>
    <row r="43" spans="11:14">
      <c r="K43" s="11"/>
    </row>
    <row r="44" spans="11:14">
      <c r="L44" s="10" t="s">
        <v>12</v>
      </c>
    </row>
    <row r="45" spans="11:14">
      <c r="L45" s="10" t="s">
        <v>13</v>
      </c>
    </row>
    <row r="46" spans="11:14">
      <c r="L46" s="10" t="s">
        <v>16</v>
      </c>
    </row>
    <row r="48" spans="11:14">
      <c r="L48" s="2" t="s">
        <v>12</v>
      </c>
    </row>
    <row r="49" spans="12:12">
      <c r="L49" s="2" t="s">
        <v>13</v>
      </c>
    </row>
    <row r="50" spans="12:12">
      <c r="L50" s="2" t="s">
        <v>16</v>
      </c>
    </row>
    <row r="51" spans="12:12">
      <c r="L51" s="11"/>
    </row>
    <row r="52" spans="12:12">
      <c r="L52" s="3" t="s">
        <v>12</v>
      </c>
    </row>
    <row r="53" spans="12:12">
      <c r="L53" s="3" t="s">
        <v>13</v>
      </c>
    </row>
    <row r="54" spans="12:12">
      <c r="L54" s="3" t="s">
        <v>16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1" r:id="rId3" name="Button 21">
              <controlPr defaultSize="0" print="0" autoFill="0" autoPict="0" macro="[0]!Clean_Sheet_4">
                <anchor moveWithCells="1" sizeWithCells="1">
                  <from>
                    <xdr:col>17</xdr:col>
                    <xdr:colOff>12700</xdr:colOff>
                    <xdr:row>0</xdr:row>
                    <xdr:rowOff>304800</xdr:rowOff>
                  </from>
                  <to>
                    <xdr:col>18</xdr:col>
                    <xdr:colOff>533400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4" name="Button 22">
              <controlPr defaultSize="0" autoFill="0" autoPict="0" macro="[0]!Collect_corrected">
                <anchor moveWithCells="1" sizeWithCells="1">
                  <from>
                    <xdr:col>10</xdr:col>
                    <xdr:colOff>355600</xdr:colOff>
                    <xdr:row>11</xdr:row>
                    <xdr:rowOff>0</xdr:rowOff>
                  </from>
                  <to>
                    <xdr:col>12</xdr:col>
                    <xdr:colOff>381000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5" name="Button 23">
              <controlPr defaultSize="0" autoFill="0" autoPict="0" macro="[0]!Collect_Forward">
                <anchor moveWithCells="1" sizeWithCells="1">
                  <from>
                    <xdr:col>12</xdr:col>
                    <xdr:colOff>457200</xdr:colOff>
                    <xdr:row>11</xdr:row>
                    <xdr:rowOff>0</xdr:rowOff>
                  </from>
                  <to>
                    <xdr:col>13</xdr:col>
                    <xdr:colOff>546100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6" name="Button 24">
              <controlPr defaultSize="0" autoFill="0" autoPict="0" macro="[0]!Collect_Backward">
                <anchor moveWithCells="1" sizeWithCells="1">
                  <from>
                    <xdr:col>13</xdr:col>
                    <xdr:colOff>635000</xdr:colOff>
                    <xdr:row>11</xdr:row>
                    <xdr:rowOff>0</xdr:rowOff>
                  </from>
                  <to>
                    <xdr:col>14</xdr:col>
                    <xdr:colOff>723900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7" name="Button 26">
              <controlPr defaultSize="0" print="0" autoFill="0" autoPict="0" macro="[0]!Calculate_Fold">
                <anchor moveWithCells="1" sizeWithCells="1">
                  <from>
                    <xdr:col>11</xdr:col>
                    <xdr:colOff>12700</xdr:colOff>
                    <xdr:row>28</xdr:row>
                    <xdr:rowOff>0</xdr:rowOff>
                  </from>
                  <to>
                    <xdr:col>14</xdr:col>
                    <xdr:colOff>0</xdr:colOff>
                    <xdr:row>30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8" name="Check Box 28">
              <controlPr defaultSize="0" autoFill="0" autoLine="0" autoPict="0">
                <anchor moveWithCells="1">
                  <from>
                    <xdr:col>10</xdr:col>
                    <xdr:colOff>114300</xdr:colOff>
                    <xdr:row>39</xdr:row>
                    <xdr:rowOff>25400</xdr:rowOff>
                  </from>
                  <to>
                    <xdr:col>10</xdr:col>
                    <xdr:colOff>812800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9" name="Button 36">
              <controlPr defaultSize="0" autoFill="0" autoPict="0" macro="[0]!writeCSV">
                <anchor moveWithCells="1" sizeWithCells="1">
                  <from>
                    <xdr:col>10</xdr:col>
                    <xdr:colOff>800100</xdr:colOff>
                    <xdr:row>55</xdr:row>
                    <xdr:rowOff>12700</xdr:rowOff>
                  </from>
                  <to>
                    <xdr:col>13</xdr:col>
                    <xdr:colOff>825500</xdr:colOff>
                    <xdr:row>58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10" name="Check Box 37">
              <controlPr defaultSize="0" autoFill="0" autoLine="0" autoPict="0">
                <anchor moveWithCells="1">
                  <from>
                    <xdr:col>10</xdr:col>
                    <xdr:colOff>114300</xdr:colOff>
                    <xdr:row>43</xdr:row>
                    <xdr:rowOff>25400</xdr:rowOff>
                  </from>
                  <to>
                    <xdr:col>10</xdr:col>
                    <xdr:colOff>812800</xdr:colOff>
                    <xdr:row>45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11" name="Check Box 38">
              <controlPr defaultSize="0" autoFill="0" autoLine="0" autoPict="0">
                <anchor moveWithCells="1">
                  <from>
                    <xdr:col>10</xdr:col>
                    <xdr:colOff>114300</xdr:colOff>
                    <xdr:row>47</xdr:row>
                    <xdr:rowOff>38100</xdr:rowOff>
                  </from>
                  <to>
                    <xdr:col>10</xdr:col>
                    <xdr:colOff>812800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12" name="Check Box 39">
              <controlPr defaultSize="0" autoFill="0" autoLine="0" autoPict="0">
                <anchor moveWithCells="1">
                  <from>
                    <xdr:col>10</xdr:col>
                    <xdr:colOff>114300</xdr:colOff>
                    <xdr:row>51</xdr:row>
                    <xdr:rowOff>25400</xdr:rowOff>
                  </from>
                  <to>
                    <xdr:col>10</xdr:col>
                    <xdr:colOff>812800</xdr:colOff>
                    <xdr:row>53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D8587-C49D-454D-9768-A2762EB00AE2}">
  <sheetPr codeName="Sheet7"/>
  <dimension ref="A1:D2"/>
  <sheetViews>
    <sheetView workbookViewId="0"/>
  </sheetViews>
  <sheetFormatPr baseColWidth="10" defaultColWidth="10.83203125" defaultRowHeight="14"/>
  <cols>
    <col min="1" max="16384" width="10.83203125" style="29"/>
  </cols>
  <sheetData>
    <row r="1" spans="1:4">
      <c r="A1" s="37"/>
      <c r="B1" s="33"/>
      <c r="C1" s="37"/>
      <c r="D1" s="33"/>
    </row>
    <row r="2" spans="1:4">
      <c r="B2" s="4"/>
      <c r="C2" s="4"/>
      <c r="D2" s="4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Clean_Sheet_5">
                <anchor moveWithCells="1" sizeWithCells="1">
                  <from>
                    <xdr:col>6</xdr:col>
                    <xdr:colOff>12700</xdr:colOff>
                    <xdr:row>1</xdr:row>
                    <xdr:rowOff>25400</xdr:rowOff>
                  </from>
                  <to>
                    <xdr:col>9</xdr:col>
                    <xdr:colOff>38100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1_Forward</vt:lpstr>
      <vt:lpstr>2_Backward</vt:lpstr>
      <vt:lpstr>3_Validation</vt:lpstr>
      <vt:lpstr>4_Corrected</vt:lpstr>
      <vt:lpstr>CSV_temp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tajika yuuki</dc:creator>
  <cp:lastModifiedBy>Microsoft Office User</cp:lastModifiedBy>
  <dcterms:created xsi:type="dcterms:W3CDTF">2022-06-12T07:09:21Z</dcterms:created>
  <dcterms:modified xsi:type="dcterms:W3CDTF">2022-06-21T23:48:08Z</dcterms:modified>
</cp:coreProperties>
</file>